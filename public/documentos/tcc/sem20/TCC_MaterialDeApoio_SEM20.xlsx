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vanzoliniead-my.sharepoint.com/personal/vrios_vanzolini-ead_org_br/Documents/SCP/_CEPRO_2025/PMD_Projeto Multidisciplinar/3º BIMESTRE/127098/ANÁLISE_DA/"/>
    </mc:Choice>
  </mc:AlternateContent>
  <xr:revisionPtr revIDLastSave="1" documentId="13_ncr:1_{3A8A09FF-2636-4B32-A8E7-17C260A42EC0}" xr6:coauthVersionLast="47" xr6:coauthVersionMax="47" xr10:uidLastSave="{77CA33B1-450A-4B25-8E28-41799664DABF}"/>
  <bookViews>
    <workbookView xWindow="-110" yWindow="-110" windowWidth="19420" windowHeight="10300" tabRatio="738" xr2:uid="{00000000-000D-0000-FFFF-FFFF00000000}"/>
  </bookViews>
  <sheets>
    <sheet name="Para estudante" sheetId="2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24" l="1"/>
  <c r="I33" i="24" s="1"/>
  <c r="J33" i="24" s="1"/>
  <c r="H29" i="24"/>
  <c r="I29" i="24" s="1"/>
  <c r="J29" i="24" s="1"/>
  <c r="H26" i="24"/>
  <c r="I26" i="24" s="1"/>
  <c r="J26" i="24" s="1"/>
  <c r="H22" i="24"/>
  <c r="I22" i="24" s="1"/>
  <c r="J22" i="24" s="1"/>
  <c r="H18" i="24"/>
  <c r="I18" i="24" s="1"/>
  <c r="J18" i="24" s="1"/>
  <c r="I14" i="24" l="1"/>
  <c r="M12" i="24" s="1"/>
</calcChain>
</file>

<file path=xl/sharedStrings.xml><?xml version="1.0" encoding="utf-8"?>
<sst xmlns="http://schemas.openxmlformats.org/spreadsheetml/2006/main" count="52" uniqueCount="44">
  <si>
    <t>EQUIPE</t>
  </si>
  <si>
    <t>DATA</t>
  </si>
  <si>
    <t>MÉDIA ATINGIDA</t>
  </si>
  <si>
    <t>BIMESTRE</t>
  </si>
  <si>
    <t>DESEMPENHO</t>
  </si>
  <si>
    <t>ITENS</t>
  </si>
  <si>
    <t xml:space="preserve">Avaliação </t>
  </si>
  <si>
    <t>%</t>
  </si>
  <si>
    <t>Status</t>
  </si>
  <si>
    <t>OBSERVAÇÕES</t>
  </si>
  <si>
    <t>Total de Pontos Possíveis</t>
  </si>
  <si>
    <t>Pontos Obtidos</t>
  </si>
  <si>
    <t>1.1</t>
  </si>
  <si>
    <t>0; 1 ou 2</t>
  </si>
  <si>
    <t>1.2</t>
  </si>
  <si>
    <t>2.1</t>
  </si>
  <si>
    <t>2.2</t>
  </si>
  <si>
    <t>RESPONSABILIDADE SOCIAL E SUSTENTABILIDADE</t>
  </si>
  <si>
    <t>3.1</t>
  </si>
  <si>
    <t>4.1</t>
  </si>
  <si>
    <t>4.2</t>
  </si>
  <si>
    <t>5.1</t>
  </si>
  <si>
    <t>5.2</t>
  </si>
  <si>
    <t>INSTRUÇÕES PARA PREENCHIMENTO</t>
  </si>
  <si>
    <r>
      <t xml:space="preserve">AVALIAÇÃO DE DESEMPENHO DA EQUIPE
</t>
    </r>
    <r>
      <rPr>
        <b/>
        <sz val="20"/>
        <color theme="0" tint="-0.499984740745262"/>
        <rFont val="Century Gothic"/>
        <family val="2"/>
      </rPr>
      <t>Projeto Multidisciplinar | Para o estudante</t>
    </r>
  </si>
  <si>
    <t>PARTICIPAÇÃO E COMPROMISSO</t>
  </si>
  <si>
    <t>Frequência e pontualidade</t>
  </si>
  <si>
    <t>Participação ativa nas reuniões e atividades</t>
  </si>
  <si>
    <t xml:space="preserve">QUALIDADE DO TRABALHO	</t>
  </si>
  <si>
    <t>Contribuição para a produção de documentos e entregas</t>
  </si>
  <si>
    <t>Alinhamento das contribuições com os objetivos do projeto</t>
  </si>
  <si>
    <t xml:space="preserve">Consideração e aplicação de práticas sustentáveis nas atividades da equipe	</t>
  </si>
  <si>
    <t>RESOLUÇÃO DE PROBLEMAS</t>
  </si>
  <si>
    <t>Capacidade de identificar e resolver problemas de forma eficaz</t>
  </si>
  <si>
    <t>Iniciativa para propor soluções e melhorias</t>
  </si>
  <si>
    <t>COLABORAÇÃO E COMUNICAÇÃO</t>
  </si>
  <si>
    <t>Eficácia na comunicação com outros membros da equipe</t>
  </si>
  <si>
    <t>Cooperação e resolução de conflitos de forma construtiva</t>
  </si>
  <si>
    <r>
      <rPr>
        <b/>
        <sz val="11"/>
        <rFont val="Arial"/>
        <family val="2"/>
      </rPr>
      <t>Leia os itens com atenção:</t>
    </r>
    <r>
      <rPr>
        <sz val="11"/>
        <rFont val="Arial"/>
        <family val="2"/>
      </rPr>
      <t xml:space="preserve"> antes de iniciar a avaliação, familiarize-se com todos os itens e critérios listados. Isso ajudará a garantir uma avaliação justa e completa.</t>
    </r>
  </si>
  <si>
    <r>
      <rPr>
        <b/>
        <sz val="11"/>
        <rFont val="Arial"/>
        <family val="2"/>
      </rPr>
      <t>Avalie cada item:</t>
    </r>
    <r>
      <rPr>
        <sz val="11"/>
        <rFont val="Arial"/>
        <family val="2"/>
      </rPr>
      <t xml:space="preserve"> para cada item, atribua uma pontuação de acordo com a tabela de pontos possíveis (0, 1 ou 2). </t>
    </r>
  </si>
  <si>
    <r>
      <rPr>
        <b/>
        <sz val="11"/>
        <rFont val="Arial"/>
        <family val="2"/>
      </rPr>
      <t>Use a pontuação adequada:</t>
    </r>
    <r>
      <rPr>
        <sz val="11"/>
        <rFont val="Arial"/>
        <family val="2"/>
      </rPr>
      <t xml:space="preserve"> as opções de pontuação são 0 (não atende), 1 (atende parcialmente) e 2 (atende plenamente). </t>
    </r>
  </si>
  <si>
    <r>
      <rPr>
        <b/>
        <sz val="11"/>
        <rFont val="Arial"/>
        <family val="2"/>
      </rPr>
      <t>Comentários adicionais:</t>
    </r>
    <r>
      <rPr>
        <sz val="11"/>
        <rFont val="Arial"/>
        <family val="2"/>
      </rPr>
      <t xml:space="preserve"> utilize o espaço de comentários para fornecer feedback detalhado, sugerir melhorias e destacar pontos fortes ou áreas que necessitam de atenção. </t>
    </r>
  </si>
  <si>
    <r>
      <rPr>
        <b/>
        <sz val="11"/>
        <rFont val="Arial"/>
        <family val="2"/>
      </rPr>
      <t xml:space="preserve">Conclua a avaliação: </t>
    </r>
    <r>
      <rPr>
        <sz val="11"/>
        <rFont val="Arial"/>
        <family val="2"/>
      </rPr>
      <t xml:space="preserve">após preencher todas as seções e fornecer os comentários, revise suas respostas para garantir que todas as informações estão corretas e completas. </t>
    </r>
  </si>
  <si>
    <r>
      <t xml:space="preserve">FORMULÁRIO DE AVALIAÇÃO DE DESEMPENHO DOS MEMBROS DA EQUIPE
</t>
    </r>
    <r>
      <rPr>
        <b/>
        <sz val="20"/>
        <color theme="1" tint="0.499984740745262"/>
        <rFont val="Century Gothic"/>
        <family val="2"/>
      </rPr>
      <t>Projeto Multidisciplinar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</si>
</sst>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3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1"/>
      <color theme="0"/>
      <name val="Arial"/>
      <family val="2"/>
    </font>
    <font>
      <b/>
      <sz val="12"/>
      <name val="Arial"/>
      <family val="2"/>
    </font>
    <font>
      <b/>
      <sz val="20"/>
      <name val="Century Gothic"/>
      <family val="2"/>
    </font>
    <font>
      <sz val="12"/>
      <name val="Arial Narrow"/>
      <family val="2"/>
    </font>
    <font>
      <b/>
      <sz val="14"/>
      <name val="Arial Narrow"/>
      <family val="2"/>
    </font>
    <font>
      <sz val="10"/>
      <name val="Arial Narrow"/>
      <family val="2"/>
    </font>
    <font>
      <b/>
      <sz val="11"/>
      <color rgb="FFFF0000"/>
      <name val="Arial Narrow"/>
      <family val="2"/>
    </font>
    <font>
      <sz val="10"/>
      <color theme="0"/>
      <name val="Arial"/>
      <family val="2"/>
    </font>
    <font>
      <b/>
      <sz val="18"/>
      <color theme="0"/>
      <name val="Arial Narrow"/>
      <family val="2"/>
    </font>
    <font>
      <b/>
      <sz val="24"/>
      <name val="Arial Narrow"/>
      <family val="2"/>
    </font>
    <font>
      <b/>
      <sz val="16"/>
      <color theme="0"/>
      <name val="Arial Narrow"/>
      <family val="2"/>
    </font>
    <font>
      <b/>
      <sz val="18"/>
      <name val="Arial Narrow"/>
      <family val="2"/>
    </font>
    <font>
      <sz val="72"/>
      <name val="Wingdings"/>
      <charset val="2"/>
    </font>
    <font>
      <b/>
      <sz val="36"/>
      <name val="Arial Narrow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u/>
      <sz val="10"/>
      <color indexed="12"/>
      <name val="Arial"/>
      <family val="2"/>
    </font>
    <font>
      <sz val="18"/>
      <name val="Wingdings"/>
      <charset val="2"/>
    </font>
    <font>
      <sz val="10"/>
      <color indexed="10"/>
      <name val="Times New Roman"/>
      <family val="1"/>
    </font>
    <font>
      <b/>
      <sz val="20"/>
      <color theme="1" tint="0.499984740745262"/>
      <name val="Century Gothic"/>
      <family val="2"/>
    </font>
    <font>
      <b/>
      <sz val="20"/>
      <color theme="0" tint="-0.499984740745262"/>
      <name val="Century Gothic"/>
      <family val="2"/>
    </font>
    <font>
      <b/>
      <sz val="11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5"/>
        <bgColor indexed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medium">
        <color indexed="22"/>
      </bottom>
      <diagonal/>
    </border>
    <border>
      <left style="medium">
        <color indexed="22"/>
      </left>
      <right/>
      <top style="medium">
        <color indexed="22"/>
      </top>
      <bottom/>
      <diagonal/>
    </border>
    <border>
      <left/>
      <right/>
      <top style="medium">
        <color indexed="22"/>
      </top>
      <bottom/>
      <diagonal/>
    </border>
    <border>
      <left style="medium">
        <color indexed="22"/>
      </left>
      <right/>
      <top/>
      <bottom/>
      <diagonal/>
    </border>
    <border>
      <left style="medium">
        <color indexed="22"/>
      </left>
      <right/>
      <top/>
      <bottom style="medium">
        <color indexed="22"/>
      </bottom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hair">
        <color theme="0"/>
      </right>
      <top style="medium">
        <color theme="0"/>
      </top>
      <bottom/>
      <diagonal/>
    </border>
    <border>
      <left style="hair">
        <color theme="0"/>
      </left>
      <right style="hair">
        <color theme="0"/>
      </right>
      <top style="medium">
        <color theme="0"/>
      </top>
      <bottom style="hair">
        <color theme="0"/>
      </bottom>
      <diagonal/>
    </border>
    <border>
      <left style="hair">
        <color theme="0"/>
      </left>
      <right/>
      <top style="medium">
        <color theme="0"/>
      </top>
      <bottom style="hair">
        <color theme="0"/>
      </bottom>
      <diagonal/>
    </border>
    <border>
      <left style="hair">
        <color theme="0" tint="-0.34998626667073579"/>
      </left>
      <right/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hair">
        <color theme="0"/>
      </right>
      <top/>
      <bottom style="medium">
        <color theme="0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medium">
        <color theme="0"/>
      </bottom>
      <diagonal/>
    </border>
    <border>
      <left style="hair">
        <color theme="0"/>
      </left>
      <right/>
      <top style="hair">
        <color theme="0"/>
      </top>
      <bottom style="medium">
        <color theme="0"/>
      </bottom>
      <diagonal/>
    </border>
    <border>
      <left style="medium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 style="medium">
        <color theme="0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medium">
        <color theme="0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/>
      <top/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34998626667073579"/>
      </right>
      <top style="hair">
        <color theme="0" tint="-0.499984740745262"/>
      </top>
      <bottom/>
      <diagonal/>
    </border>
    <border>
      <left/>
      <right style="hair">
        <color theme="0" tint="-0.34998626667073579"/>
      </right>
      <top/>
      <bottom style="hair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hair">
        <color theme="0" tint="-0.499984740745262"/>
      </top>
      <bottom style="medium">
        <color theme="0" tint="-0.499984740745262"/>
      </bottom>
      <diagonal/>
    </border>
    <border>
      <left/>
      <right/>
      <top style="hair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medium">
        <color theme="0"/>
      </top>
      <bottom style="hair">
        <color theme="0" tint="-0.499984740745262"/>
      </bottom>
      <diagonal/>
    </border>
    <border>
      <left/>
      <right style="medium">
        <color theme="0" tint="-0.499984740745262"/>
      </right>
      <top style="medium">
        <color theme="0"/>
      </top>
      <bottom style="hair">
        <color theme="0" tint="-0.499984740745262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26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</cellStyleXfs>
  <cellXfs count="128">
    <xf numFmtId="0" fontId="0" fillId="0" borderId="0" xfId="0"/>
    <xf numFmtId="0" fontId="6" fillId="3" borderId="0" xfId="0" applyFont="1" applyFill="1" applyProtection="1">
      <protection locked="0"/>
    </xf>
    <xf numFmtId="0" fontId="6" fillId="4" borderId="2" xfId="0" applyFont="1" applyFill="1" applyBorder="1" applyProtection="1"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7" fillId="4" borderId="3" xfId="0" applyFont="1" applyFill="1" applyBorder="1" applyAlignment="1" applyProtection="1">
      <alignment horizontal="center"/>
      <protection locked="0"/>
    </xf>
    <xf numFmtId="0" fontId="6" fillId="3" borderId="0" xfId="0" applyFont="1" applyFill="1" applyAlignment="1" applyProtection="1">
      <alignment horizontal="center"/>
      <protection locked="0"/>
    </xf>
    <xf numFmtId="0" fontId="6" fillId="4" borderId="5" xfId="0" applyFont="1" applyFill="1" applyBorder="1" applyProtection="1">
      <protection locked="0"/>
    </xf>
    <xf numFmtId="0" fontId="6" fillId="4" borderId="1" xfId="0" applyFont="1" applyFill="1" applyBorder="1" applyAlignment="1" applyProtection="1">
      <alignment horizontal="center"/>
      <protection locked="0"/>
    </xf>
    <xf numFmtId="0" fontId="6" fillId="4" borderId="1" xfId="0" applyFont="1" applyFill="1" applyBorder="1" applyProtection="1"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horizontal="center"/>
      <protection locked="0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/>
      <protection locked="0"/>
    </xf>
    <xf numFmtId="0" fontId="6" fillId="3" borderId="6" xfId="0" applyFont="1" applyFill="1" applyBorder="1" applyAlignment="1" applyProtection="1">
      <alignment horizontal="center"/>
      <protection locked="0"/>
    </xf>
    <xf numFmtId="0" fontId="6" fillId="3" borderId="6" xfId="0" applyFont="1" applyFill="1" applyBorder="1" applyProtection="1">
      <protection locked="0"/>
    </xf>
    <xf numFmtId="0" fontId="6" fillId="3" borderId="7" xfId="0" applyFont="1" applyFill="1" applyBorder="1" applyProtection="1">
      <protection locked="0"/>
    </xf>
    <xf numFmtId="0" fontId="6" fillId="3" borderId="8" xfId="0" applyFont="1" applyFill="1" applyBorder="1" applyProtection="1"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9" xfId="0" applyFont="1" applyFill="1" applyBorder="1" applyAlignment="1" applyProtection="1">
      <alignment horizontal="center"/>
      <protection locked="0"/>
    </xf>
    <xf numFmtId="0" fontId="6" fillId="3" borderId="9" xfId="0" applyFont="1" applyFill="1" applyBorder="1" applyProtection="1">
      <protection locked="0"/>
    </xf>
    <xf numFmtId="0" fontId="6" fillId="3" borderId="10" xfId="0" applyFont="1" applyFill="1" applyBorder="1" applyProtection="1">
      <protection locked="0"/>
    </xf>
    <xf numFmtId="0" fontId="11" fillId="2" borderId="0" xfId="2" applyFont="1" applyFill="1"/>
    <xf numFmtId="0" fontId="12" fillId="2" borderId="0" xfId="2" applyFont="1" applyFill="1"/>
    <xf numFmtId="0" fontId="13" fillId="2" borderId="0" xfId="2" applyFont="1" applyFill="1"/>
    <xf numFmtId="0" fontId="14" fillId="2" borderId="0" xfId="2" applyFont="1" applyFill="1" applyAlignment="1">
      <alignment horizontal="center" vertical="center"/>
    </xf>
    <xf numFmtId="0" fontId="15" fillId="0" borderId="0" xfId="2" applyFont="1"/>
    <xf numFmtId="0" fontId="4" fillId="0" borderId="0" xfId="2"/>
    <xf numFmtId="0" fontId="16" fillId="8" borderId="0" xfId="2" applyFont="1" applyFill="1" applyAlignment="1">
      <alignment horizontal="center" vertical="center"/>
    </xf>
    <xf numFmtId="0" fontId="5" fillId="0" borderId="0" xfId="2" applyFont="1"/>
    <xf numFmtId="0" fontId="22" fillId="0" borderId="0" xfId="2" applyFont="1"/>
    <xf numFmtId="0" fontId="23" fillId="0" borderId="0" xfId="2" applyFont="1"/>
    <xf numFmtId="0" fontId="8" fillId="8" borderId="20" xfId="2" applyFont="1" applyFill="1" applyBorder="1" applyAlignment="1">
      <alignment horizontal="center" vertical="center" wrapText="1"/>
    </xf>
    <xf numFmtId="0" fontId="9" fillId="7" borderId="22" xfId="3" applyFont="1" applyFill="1" applyBorder="1" applyAlignment="1" applyProtection="1">
      <alignment horizontal="center" vertical="center"/>
    </xf>
    <xf numFmtId="1" fontId="2" fillId="7" borderId="27" xfId="2" applyNumberFormat="1" applyFont="1" applyFill="1" applyBorder="1" applyAlignment="1" applyProtection="1">
      <alignment horizontal="center" vertical="center"/>
      <protection locked="0"/>
    </xf>
    <xf numFmtId="1" fontId="2" fillId="7" borderId="27" xfId="2" applyNumberFormat="1" applyFont="1" applyFill="1" applyBorder="1" applyAlignment="1">
      <alignment horizontal="center" vertical="center"/>
    </xf>
    <xf numFmtId="9" fontId="9" fillId="7" borderId="27" xfId="4" applyFont="1" applyFill="1" applyBorder="1" applyAlignment="1" applyProtection="1">
      <alignment horizontal="center" vertical="center"/>
    </xf>
    <xf numFmtId="0" fontId="27" fillId="0" borderId="23" xfId="2" applyFont="1" applyBorder="1" applyAlignment="1">
      <alignment horizontal="center" vertical="center"/>
    </xf>
    <xf numFmtId="0" fontId="4" fillId="8" borderId="16" xfId="2" applyFill="1" applyBorder="1" applyAlignment="1">
      <alignment wrapText="1"/>
    </xf>
    <xf numFmtId="0" fontId="4" fillId="8" borderId="0" xfId="2" applyFill="1" applyAlignment="1">
      <alignment wrapText="1"/>
    </xf>
    <xf numFmtId="0" fontId="4" fillId="8" borderId="8" xfId="2" applyFill="1" applyBorder="1" applyAlignment="1">
      <alignment wrapText="1"/>
    </xf>
    <xf numFmtId="0" fontId="9" fillId="7" borderId="28" xfId="3" applyFont="1" applyFill="1" applyBorder="1" applyAlignment="1" applyProtection="1">
      <alignment horizontal="center" vertical="center"/>
    </xf>
    <xf numFmtId="9" fontId="9" fillId="7" borderId="29" xfId="4" applyFont="1" applyFill="1" applyBorder="1" applyAlignment="1" applyProtection="1">
      <alignment horizontal="center" vertical="center"/>
    </xf>
    <xf numFmtId="0" fontId="27" fillId="0" borderId="33" xfId="2" applyFont="1" applyBorder="1" applyAlignment="1">
      <alignment horizontal="center" vertical="center"/>
    </xf>
    <xf numFmtId="1" fontId="2" fillId="7" borderId="29" xfId="2" applyNumberFormat="1" applyFont="1" applyFill="1" applyBorder="1" applyAlignment="1" applyProtection="1">
      <alignment horizontal="center" vertical="center"/>
      <protection locked="0"/>
    </xf>
    <xf numFmtId="0" fontId="23" fillId="2" borderId="38" xfId="2" applyFont="1" applyFill="1" applyBorder="1" applyAlignment="1">
      <alignment horizontal="center" vertical="center"/>
    </xf>
    <xf numFmtId="0" fontId="23" fillId="2" borderId="39" xfId="2" applyFont="1" applyFill="1" applyBorder="1" applyAlignment="1">
      <alignment vertical="center"/>
    </xf>
    <xf numFmtId="0" fontId="23" fillId="2" borderId="39" xfId="2" applyFont="1" applyFill="1" applyBorder="1" applyAlignment="1">
      <alignment horizontal="center" vertical="center"/>
    </xf>
    <xf numFmtId="164" fontId="28" fillId="2" borderId="39" xfId="2" applyNumberFormat="1" applyFont="1" applyFill="1" applyBorder="1" applyAlignment="1">
      <alignment horizontal="center" vertical="center"/>
    </xf>
    <xf numFmtId="0" fontId="15" fillId="2" borderId="9" xfId="2" applyFont="1" applyFill="1" applyBorder="1"/>
    <xf numFmtId="0" fontId="4" fillId="0" borderId="9" xfId="2" applyBorder="1"/>
    <xf numFmtId="0" fontId="4" fillId="0" borderId="10" xfId="2" applyBorder="1"/>
    <xf numFmtId="0" fontId="17" fillId="7" borderId="0" xfId="2" applyFont="1" applyFill="1" applyAlignment="1" applyProtection="1">
      <alignment vertical="center"/>
      <protection locked="0"/>
    </xf>
    <xf numFmtId="17" fontId="17" fillId="7" borderId="0" xfId="2" applyNumberFormat="1" applyFont="1" applyFill="1" applyAlignment="1" applyProtection="1">
      <alignment vertical="center"/>
      <protection locked="0"/>
    </xf>
    <xf numFmtId="14" fontId="10" fillId="5" borderId="4" xfId="0" applyNumberFormat="1" applyFont="1" applyFill="1" applyBorder="1" applyAlignment="1" applyProtection="1">
      <alignment horizontal="center" vertical="center" wrapText="1"/>
      <protection locked="0"/>
    </xf>
    <xf numFmtId="14" fontId="10" fillId="5" borderId="0" xfId="0" applyNumberFormat="1" applyFont="1" applyFill="1" applyAlignment="1" applyProtection="1">
      <alignment horizontal="center" vertical="center" wrapText="1"/>
      <protection locked="0"/>
    </xf>
    <xf numFmtId="0" fontId="31" fillId="6" borderId="47" xfId="3" applyFont="1" applyFill="1" applyBorder="1" applyAlignment="1" applyProtection="1">
      <alignment horizontal="center" vertical="center"/>
    </xf>
    <xf numFmtId="0" fontId="31" fillId="6" borderId="28" xfId="3" applyFont="1" applyFill="1" applyBorder="1" applyAlignment="1" applyProtection="1">
      <alignment horizontal="center" vertical="center"/>
    </xf>
    <xf numFmtId="0" fontId="31" fillId="6" borderId="43" xfId="3" applyFont="1" applyFill="1" applyBorder="1" applyAlignment="1" applyProtection="1">
      <alignment horizontal="center" vertical="center"/>
    </xf>
    <xf numFmtId="0" fontId="32" fillId="6" borderId="28" xfId="3" applyFont="1" applyFill="1" applyBorder="1" applyAlignment="1" applyProtection="1">
      <alignment horizontal="center" vertical="center"/>
    </xf>
    <xf numFmtId="0" fontId="1" fillId="6" borderId="29" xfId="2" applyFont="1" applyFill="1" applyBorder="1" applyAlignment="1">
      <alignment horizontal="center" vertical="center" wrapText="1"/>
    </xf>
    <xf numFmtId="1" fontId="1" fillId="6" borderId="29" xfId="2" applyNumberFormat="1" applyFont="1" applyFill="1" applyBorder="1" applyAlignment="1" applyProtection="1">
      <alignment horizontal="center" vertical="center"/>
      <protection locked="0"/>
    </xf>
    <xf numFmtId="0" fontId="31" fillId="8" borderId="28" xfId="3" applyFont="1" applyFill="1" applyBorder="1" applyAlignment="1" applyProtection="1">
      <alignment horizontal="center" vertical="center"/>
    </xf>
    <xf numFmtId="0" fontId="1" fillId="8" borderId="33" xfId="2" applyFont="1" applyFill="1" applyBorder="1" applyAlignment="1">
      <alignment horizontal="left" vertical="center" wrapText="1"/>
    </xf>
    <xf numFmtId="0" fontId="1" fillId="8" borderId="34" xfId="2" applyFont="1" applyFill="1" applyBorder="1" applyAlignment="1">
      <alignment horizontal="left" vertical="center" wrapText="1"/>
    </xf>
    <xf numFmtId="0" fontId="1" fillId="6" borderId="29" xfId="2" applyFont="1" applyFill="1" applyBorder="1" applyAlignment="1">
      <alignment horizontal="center" vertical="center"/>
    </xf>
    <xf numFmtId="0" fontId="32" fillId="6" borderId="41" xfId="3" applyFont="1" applyFill="1" applyBorder="1" applyAlignment="1" applyProtection="1">
      <alignment horizontal="left" vertical="center" wrapText="1"/>
    </xf>
    <xf numFmtId="0" fontId="32" fillId="6" borderId="34" xfId="3" applyFont="1" applyFill="1" applyBorder="1" applyAlignment="1" applyProtection="1">
      <alignment horizontal="left" vertical="center" wrapText="1"/>
    </xf>
    <xf numFmtId="0" fontId="32" fillId="6" borderId="42" xfId="3" applyFont="1" applyFill="1" applyBorder="1" applyAlignment="1" applyProtection="1">
      <alignment horizontal="left" vertical="center" wrapText="1"/>
    </xf>
    <xf numFmtId="0" fontId="32" fillId="6" borderId="44" xfId="3" applyFont="1" applyFill="1" applyBorder="1" applyAlignment="1" applyProtection="1">
      <alignment horizontal="left" vertical="center" wrapText="1"/>
    </xf>
    <xf numFmtId="0" fontId="32" fillId="6" borderId="45" xfId="3" applyFont="1" applyFill="1" applyBorder="1" applyAlignment="1" applyProtection="1">
      <alignment horizontal="left" vertical="center" wrapText="1"/>
    </xf>
    <xf numFmtId="0" fontId="32" fillId="6" borderId="46" xfId="3" applyFont="1" applyFill="1" applyBorder="1" applyAlignment="1" applyProtection="1">
      <alignment horizontal="left" vertical="center" wrapText="1"/>
    </xf>
    <xf numFmtId="0" fontId="24" fillId="8" borderId="0" xfId="2" applyFont="1" applyFill="1" applyAlignment="1">
      <alignment horizontal="center" vertical="center"/>
    </xf>
    <xf numFmtId="0" fontId="32" fillId="6" borderId="48" xfId="3" applyFont="1" applyFill="1" applyBorder="1" applyAlignment="1" applyProtection="1">
      <alignment horizontal="left" vertical="center" wrapText="1"/>
    </xf>
    <xf numFmtId="0" fontId="32" fillId="6" borderId="40" xfId="3" applyFont="1" applyFill="1" applyBorder="1" applyAlignment="1" applyProtection="1">
      <alignment horizontal="left" vertical="center" wrapText="1"/>
    </xf>
    <xf numFmtId="0" fontId="32" fillId="6" borderId="49" xfId="3" applyFont="1" applyFill="1" applyBorder="1" applyAlignment="1" applyProtection="1">
      <alignment horizontal="left" vertical="center" wrapText="1"/>
    </xf>
    <xf numFmtId="0" fontId="3" fillId="7" borderId="33" xfId="2" applyFont="1" applyFill="1" applyBorder="1" applyAlignment="1">
      <alignment horizontal="left" vertical="center" wrapText="1"/>
    </xf>
    <xf numFmtId="0" fontId="3" fillId="7" borderId="34" xfId="2" applyFont="1" applyFill="1" applyBorder="1" applyAlignment="1">
      <alignment horizontal="left" vertical="center" wrapText="1"/>
    </xf>
    <xf numFmtId="0" fontId="3" fillId="7" borderId="35" xfId="2" applyFont="1" applyFill="1" applyBorder="1" applyAlignment="1">
      <alignment horizontal="left" vertical="center" wrapText="1"/>
    </xf>
    <xf numFmtId="0" fontId="4" fillId="0" borderId="16" xfId="2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2" fillId="6" borderId="34" xfId="3" applyFont="1" applyFill="1" applyBorder="1" applyAlignment="1" applyProtection="1">
      <alignment horizontal="left" vertical="center"/>
    </xf>
    <xf numFmtId="0" fontId="32" fillId="6" borderId="35" xfId="3" applyFont="1" applyFill="1" applyBorder="1" applyAlignment="1" applyProtection="1">
      <alignment horizontal="left" vertical="center"/>
    </xf>
    <xf numFmtId="9" fontId="9" fillId="5" borderId="30" xfId="4" applyFont="1" applyFill="1" applyBorder="1" applyAlignment="1" applyProtection="1">
      <alignment horizontal="center" vertical="center"/>
    </xf>
    <xf numFmtId="9" fontId="9" fillId="5" borderId="36" xfId="4" applyFont="1" applyFill="1" applyBorder="1" applyAlignment="1" applyProtection="1">
      <alignment horizontal="center" vertical="center"/>
    </xf>
    <xf numFmtId="9" fontId="9" fillId="5" borderId="23" xfId="4" applyFont="1" applyFill="1" applyBorder="1" applyAlignment="1" applyProtection="1">
      <alignment horizontal="center" vertical="center"/>
    </xf>
    <xf numFmtId="9" fontId="9" fillId="5" borderId="37" xfId="4" applyFont="1" applyFill="1" applyBorder="1" applyAlignment="1" applyProtection="1">
      <alignment horizontal="center" vertical="center"/>
    </xf>
    <xf numFmtId="0" fontId="32" fillId="6" borderId="41" xfId="3" applyFont="1" applyFill="1" applyBorder="1" applyAlignment="1" applyProtection="1">
      <alignment horizontal="left" vertical="center"/>
    </xf>
    <xf numFmtId="0" fontId="1" fillId="6" borderId="33" xfId="2" applyFont="1" applyFill="1" applyBorder="1" applyAlignment="1">
      <alignment horizontal="left" vertical="center" wrapText="1"/>
    </xf>
    <xf numFmtId="0" fontId="1" fillId="6" borderId="34" xfId="2" applyFont="1" applyFill="1" applyBorder="1" applyAlignment="1">
      <alignment horizontal="left" vertical="center" wrapText="1"/>
    </xf>
    <xf numFmtId="0" fontId="1" fillId="6" borderId="35" xfId="2" applyFont="1" applyFill="1" applyBorder="1" applyAlignment="1">
      <alignment horizontal="left" vertical="center" wrapText="1"/>
    </xf>
    <xf numFmtId="9" fontId="9" fillId="5" borderId="33" xfId="4" applyFont="1" applyFill="1" applyBorder="1" applyAlignment="1" applyProtection="1">
      <alignment horizontal="center" vertical="center"/>
    </xf>
    <xf numFmtId="9" fontId="9" fillId="5" borderId="34" xfId="4" applyFont="1" applyFill="1" applyBorder="1" applyAlignment="1" applyProtection="1">
      <alignment horizontal="center" vertical="center"/>
    </xf>
    <xf numFmtId="0" fontId="4" fillId="0" borderId="0" xfId="2" applyAlignment="1">
      <alignment horizontal="center" vertical="center" wrapText="1"/>
    </xf>
    <xf numFmtId="0" fontId="4" fillId="0" borderId="8" xfId="2" applyBorder="1" applyAlignment="1">
      <alignment horizontal="center" vertical="center" wrapText="1"/>
    </xf>
    <xf numFmtId="0" fontId="3" fillId="7" borderId="23" xfId="2" applyFont="1" applyFill="1" applyBorder="1" applyAlignment="1">
      <alignment horizontal="left" vertical="center"/>
    </xf>
    <xf numFmtId="0" fontId="3" fillId="7" borderId="32" xfId="2" applyFont="1" applyFill="1" applyBorder="1" applyAlignment="1">
      <alignment horizontal="left" vertical="center"/>
    </xf>
    <xf numFmtId="0" fontId="3" fillId="7" borderId="24" xfId="2" applyFont="1" applyFill="1" applyBorder="1" applyAlignment="1">
      <alignment horizontal="left" vertical="center"/>
    </xf>
    <xf numFmtId="0" fontId="27" fillId="5" borderId="30" xfId="2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/>
    </xf>
    <xf numFmtId="0" fontId="27" fillId="5" borderId="23" xfId="2" applyFont="1" applyFill="1" applyBorder="1" applyAlignment="1">
      <alignment horizontal="center" vertical="center"/>
    </xf>
    <xf numFmtId="0" fontId="27" fillId="5" borderId="32" xfId="2" applyFont="1" applyFill="1" applyBorder="1" applyAlignment="1">
      <alignment horizontal="center" vertical="center"/>
    </xf>
    <xf numFmtId="14" fontId="10" fillId="5" borderId="4" xfId="0" applyNumberFormat="1" applyFont="1" applyFill="1" applyBorder="1" applyAlignment="1" applyProtection="1">
      <alignment horizontal="center" vertical="center" wrapText="1"/>
      <protection locked="0"/>
    </xf>
    <xf numFmtId="14" fontId="10" fillId="5" borderId="0" xfId="0" applyNumberFormat="1" applyFont="1" applyFill="1" applyAlignment="1" applyProtection="1">
      <alignment horizontal="center" vertical="center" wrapText="1"/>
      <protection locked="0"/>
    </xf>
    <xf numFmtId="0" fontId="18" fillId="8" borderId="0" xfId="2" applyFont="1" applyFill="1" applyAlignment="1">
      <alignment horizontal="center" vertical="center"/>
    </xf>
    <xf numFmtId="0" fontId="19" fillId="2" borderId="0" xfId="2" applyFont="1" applyFill="1" applyAlignment="1">
      <alignment horizontal="center" vertical="center" wrapText="1"/>
    </xf>
    <xf numFmtId="0" fontId="20" fillId="0" borderId="0" xfId="2" applyFont="1" applyAlignment="1">
      <alignment horizontal="center" vertical="center"/>
    </xf>
    <xf numFmtId="0" fontId="17" fillId="7" borderId="0" xfId="2" applyFont="1" applyFill="1" applyAlignment="1">
      <alignment horizontal="center" vertical="center"/>
    </xf>
    <xf numFmtId="0" fontId="16" fillId="8" borderId="0" xfId="2" applyFont="1" applyFill="1" applyAlignment="1">
      <alignment horizontal="center" vertical="center"/>
    </xf>
    <xf numFmtId="9" fontId="21" fillId="7" borderId="0" xfId="1" applyFont="1" applyFill="1" applyBorder="1" applyAlignment="1" applyProtection="1">
      <alignment horizontal="center" vertical="center"/>
    </xf>
    <xf numFmtId="0" fontId="24" fillId="8" borderId="11" xfId="2" applyFont="1" applyFill="1" applyBorder="1" applyAlignment="1">
      <alignment horizontal="center" vertical="center"/>
    </xf>
    <xf numFmtId="0" fontId="24" fillId="8" borderId="12" xfId="2" applyFont="1" applyFill="1" applyBorder="1" applyAlignment="1">
      <alignment horizontal="center" vertical="center"/>
    </xf>
    <xf numFmtId="0" fontId="24" fillId="8" borderId="13" xfId="2" applyFont="1" applyFill="1" applyBorder="1" applyAlignment="1">
      <alignment horizontal="center" vertical="center"/>
    </xf>
    <xf numFmtId="0" fontId="24" fillId="8" borderId="17" xfId="2" applyFont="1" applyFill="1" applyBorder="1" applyAlignment="1">
      <alignment horizontal="center" vertical="center"/>
    </xf>
    <xf numFmtId="0" fontId="24" fillId="8" borderId="18" xfId="2" applyFont="1" applyFill="1" applyBorder="1" applyAlignment="1">
      <alignment horizontal="center" vertical="center"/>
    </xf>
    <xf numFmtId="0" fontId="24" fillId="8" borderId="19" xfId="2" applyFont="1" applyFill="1" applyBorder="1" applyAlignment="1">
      <alignment horizontal="center" vertical="center"/>
    </xf>
    <xf numFmtId="0" fontId="25" fillId="8" borderId="14" xfId="2" applyFont="1" applyFill="1" applyBorder="1" applyAlignment="1">
      <alignment horizontal="center" vertical="center" wrapText="1"/>
    </xf>
    <xf numFmtId="0" fontId="24" fillId="8" borderId="14" xfId="2" applyFont="1" applyFill="1" applyBorder="1" applyAlignment="1">
      <alignment horizontal="center" vertical="center"/>
    </xf>
    <xf numFmtId="0" fontId="24" fillId="8" borderId="20" xfId="2" applyFont="1" applyFill="1" applyBorder="1" applyAlignment="1">
      <alignment horizontal="center" vertical="center"/>
    </xf>
    <xf numFmtId="0" fontId="25" fillId="8" borderId="15" xfId="2" applyFont="1" applyFill="1" applyBorder="1" applyAlignment="1">
      <alignment horizontal="center" vertical="center" wrapText="1"/>
    </xf>
    <xf numFmtId="0" fontId="25" fillId="8" borderId="21" xfId="2" applyFont="1" applyFill="1" applyBorder="1" applyAlignment="1">
      <alignment horizontal="center" vertical="center" wrapText="1"/>
    </xf>
    <xf numFmtId="0" fontId="24" fillId="8" borderId="16" xfId="2" applyFont="1" applyFill="1" applyBorder="1" applyAlignment="1">
      <alignment horizontal="center" vertical="center"/>
    </xf>
    <xf numFmtId="0" fontId="24" fillId="8" borderId="8" xfId="2" applyFont="1" applyFill="1" applyBorder="1" applyAlignment="1">
      <alignment horizontal="center" vertical="center"/>
    </xf>
    <xf numFmtId="0" fontId="3" fillId="7" borderId="25" xfId="2" applyFont="1" applyFill="1" applyBorder="1" applyAlignment="1">
      <alignment horizontal="left" vertical="center"/>
    </xf>
    <xf numFmtId="0" fontId="3" fillId="7" borderId="40" xfId="2" applyFont="1" applyFill="1" applyBorder="1" applyAlignment="1">
      <alignment horizontal="left" vertical="center"/>
    </xf>
    <xf numFmtId="0" fontId="3" fillId="7" borderId="26" xfId="2" applyFont="1" applyFill="1" applyBorder="1" applyAlignment="1">
      <alignment horizontal="left" vertical="center"/>
    </xf>
  </cellXfs>
  <cellStyles count="5">
    <cellStyle name="Hiperlink 2" xfId="3" xr:uid="{00000000-0005-0000-0000-000000000000}"/>
    <cellStyle name="Normal" xfId="0" builtinId="0"/>
    <cellStyle name="Normal 2" xfId="2" xr:uid="{00000000-0005-0000-0000-000002000000}"/>
    <cellStyle name="Porcentagem" xfId="1" builtinId="5"/>
    <cellStyle name="Porcentagem 3 2" xfId="4" xr:uid="{00000000-0005-0000-0000-000004000000}"/>
  </cellStyles>
  <dxfs count="45"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fgColor indexed="47"/>
          <bgColor indexed="51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fgColor indexed="47"/>
          <bgColor indexed="51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ndense val="0"/>
        <extend val="0"/>
        <color auto="1"/>
      </font>
      <fill>
        <patternFill>
          <fgColor indexed="47"/>
          <bgColor indexed="51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fgColor indexed="47"/>
          <bgColor indexed="51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fgColor indexed="47"/>
          <bgColor indexed="51"/>
        </patternFill>
      </fill>
    </dxf>
    <dxf>
      <font>
        <b/>
        <i val="0"/>
        <condense val="0"/>
        <extend val="0"/>
      </font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108858</xdr:colOff>
      <xdr:row>1</xdr:row>
      <xdr:rowOff>-1</xdr:rowOff>
    </xdr:from>
    <xdr:to>
      <xdr:col>3</xdr:col>
      <xdr:colOff>119616</xdr:colOff>
      <xdr:row>8</xdr:row>
      <xdr:rowOff>13608</xdr:rowOff>
    </xdr:to>
    <xdr:pic>
      <xdr:nvPicPr>
        <xdr:cNvPr id="2" name="Imagem 1" descr="Diretoria de Ensino – Região Centro Sul – Rua Dom Antonio Galvão, nº 95 –  Bairro Vila Gumercindo">
          <a:extLst>
            <a:ext uri="{FF2B5EF4-FFF2-40B4-BE49-F238E27FC236}">
              <a16:creationId xmlns:a16="http://schemas.microsoft.com/office/drawing/2014/main" id="{8AF0DE8F-2814-4B3C-A64B-261861C98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208" y="57149"/>
          <a:ext cx="3163533" cy="1013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E4E7-B5C8-4F4C-802E-EA54349178CD}">
  <sheetPr>
    <tabColor rgb="FF002060"/>
  </sheetPr>
  <dimension ref="B1:Q55"/>
  <sheetViews>
    <sheetView showGridLines="0" tabSelected="1" zoomScale="40" zoomScaleNormal="40" workbookViewId="0">
      <selection activeCell="C3" sqref="C3:N8"/>
    </sheetView>
  </sheetViews>
  <sheetFormatPr defaultColWidth="9.1796875" defaultRowHeight="12.5" x14ac:dyDescent="0.25"/>
  <cols>
    <col min="1" max="1" width="2" style="27" customWidth="1"/>
    <col min="2" max="2" width="18.7265625" style="27" bestFit="1" customWidth="1"/>
    <col min="3" max="4" width="28.453125" style="27" customWidth="1"/>
    <col min="5" max="5" width="9.453125" style="27" customWidth="1"/>
    <col min="6" max="6" width="11.1796875" style="27" customWidth="1"/>
    <col min="7" max="7" width="11.453125" style="27" customWidth="1"/>
    <col min="8" max="8" width="10.7265625" style="27" customWidth="1"/>
    <col min="9" max="9" width="13" style="27" customWidth="1"/>
    <col min="10" max="10" width="10.7265625" style="27" customWidth="1"/>
    <col min="11" max="11" width="1.26953125" style="26" customWidth="1"/>
    <col min="12" max="13" width="9.1796875" style="27"/>
    <col min="14" max="14" width="34.453125" style="27" customWidth="1"/>
    <col min="15" max="16" width="1.26953125" style="27" customWidth="1"/>
    <col min="17" max="16384" width="9.1796875" style="27"/>
  </cols>
  <sheetData>
    <row r="1" spans="2:17" s="1" customFormat="1" ht="4.5" customHeight="1" thickBot="1" x14ac:dyDescent="0.3">
      <c r="B1" s="8"/>
      <c r="C1" s="9"/>
      <c r="D1" s="9"/>
      <c r="E1" s="10"/>
      <c r="F1" s="10"/>
      <c r="G1" s="11"/>
      <c r="H1" s="11"/>
      <c r="I1" s="10"/>
      <c r="J1" s="11"/>
      <c r="K1" s="5"/>
      <c r="L1" s="5"/>
    </row>
    <row r="2" spans="2:17" s="1" customFormat="1" ht="4.5" customHeight="1" x14ac:dyDescent="0.25">
      <c r="B2" s="2"/>
      <c r="C2" s="12"/>
      <c r="D2" s="12"/>
      <c r="E2" s="3"/>
      <c r="F2" s="3"/>
      <c r="G2" s="4"/>
      <c r="H2" s="4"/>
      <c r="I2" s="3"/>
      <c r="J2" s="4"/>
      <c r="K2" s="13"/>
      <c r="L2" s="14"/>
      <c r="M2" s="15"/>
      <c r="N2" s="15"/>
      <c r="O2" s="16"/>
    </row>
    <row r="3" spans="2:17" s="1" customFormat="1" ht="5.15" customHeight="1" x14ac:dyDescent="0.25">
      <c r="B3" s="54"/>
      <c r="C3" s="105" t="s">
        <v>24</v>
      </c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7"/>
    </row>
    <row r="4" spans="2:17" s="1" customFormat="1" ht="14.25" customHeight="1" x14ac:dyDescent="0.25">
      <c r="B4" s="54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7"/>
    </row>
    <row r="5" spans="2:17" s="1" customFormat="1" ht="13.5" customHeight="1" x14ac:dyDescent="0.25">
      <c r="B5" s="54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7"/>
    </row>
    <row r="6" spans="2:17" s="1" customFormat="1" ht="13.5" customHeight="1" x14ac:dyDescent="0.25">
      <c r="B6" s="54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7"/>
      <c r="Q6"/>
    </row>
    <row r="7" spans="2:17" s="1" customFormat="1" ht="14.25" customHeight="1" x14ac:dyDescent="0.25">
      <c r="B7" s="54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7"/>
    </row>
    <row r="8" spans="2:17" s="1" customFormat="1" ht="14.25" customHeight="1" x14ac:dyDescent="0.25">
      <c r="B8" s="54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7"/>
    </row>
    <row r="9" spans="2:17" s="1" customFormat="1" ht="5.15" customHeight="1" x14ac:dyDescent="0.25">
      <c r="B9" s="54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17"/>
    </row>
    <row r="10" spans="2:17" s="1" customFormat="1" ht="5.15" customHeight="1" thickBot="1" x14ac:dyDescent="0.3">
      <c r="B10" s="6"/>
      <c r="C10" s="18"/>
      <c r="D10" s="18"/>
      <c r="E10" s="7"/>
      <c r="F10" s="7"/>
      <c r="G10" s="7"/>
      <c r="H10" s="7"/>
      <c r="I10" s="7"/>
      <c r="J10" s="7"/>
      <c r="K10" s="19"/>
      <c r="L10" s="19"/>
      <c r="M10" s="20"/>
      <c r="N10" s="20"/>
      <c r="O10" s="21"/>
    </row>
    <row r="11" spans="2:17" ht="4.5" customHeight="1" x14ac:dyDescent="0.4">
      <c r="B11" s="22"/>
      <c r="C11" s="22"/>
      <c r="D11" s="22"/>
      <c r="E11" s="23"/>
      <c r="F11" s="23"/>
      <c r="G11" s="24"/>
      <c r="H11" s="24"/>
      <c r="I11" s="24"/>
      <c r="J11" s="25"/>
    </row>
    <row r="12" spans="2:17" s="29" customFormat="1" ht="44.25" customHeight="1" x14ac:dyDescent="0.35">
      <c r="B12" s="28" t="s">
        <v>0</v>
      </c>
      <c r="C12" s="52"/>
      <c r="D12" s="52"/>
      <c r="E12" s="106" t="s">
        <v>1</v>
      </c>
      <c r="F12" s="106"/>
      <c r="G12" s="53"/>
      <c r="H12" s="52"/>
      <c r="I12" s="107" t="s">
        <v>2</v>
      </c>
      <c r="J12" s="107"/>
      <c r="K12" s="107"/>
      <c r="L12" s="107"/>
      <c r="M12" s="108" t="str">
        <f>IF(I14&lt;70%,"L",IF(I14&lt;90%,"K",IF(I14&lt;101%,"J","")))</f>
        <v>K</v>
      </c>
      <c r="N12" s="108"/>
      <c r="O12" s="108"/>
    </row>
    <row r="13" spans="2:17" ht="6.75" customHeight="1" x14ac:dyDescent="0.4">
      <c r="B13" s="22"/>
      <c r="C13" s="22"/>
      <c r="D13" s="22"/>
      <c r="E13" s="23"/>
      <c r="F13" s="23"/>
      <c r="G13" s="24"/>
      <c r="H13" s="24"/>
      <c r="I13" s="24"/>
      <c r="J13" s="24"/>
      <c r="M13" s="108"/>
      <c r="N13" s="108"/>
      <c r="O13" s="108"/>
    </row>
    <row r="14" spans="2:17" ht="35.25" customHeight="1" x14ac:dyDescent="0.25">
      <c r="B14" s="28" t="s">
        <v>3</v>
      </c>
      <c r="C14" s="109"/>
      <c r="D14" s="109"/>
      <c r="E14" s="110" t="s">
        <v>4</v>
      </c>
      <c r="F14" s="110"/>
      <c r="G14" s="110"/>
      <c r="H14" s="110"/>
      <c r="I14" s="111">
        <f>SUM(I18+I22+I26+I29+I33)/5</f>
        <v>0.8</v>
      </c>
      <c r="J14" s="111"/>
      <c r="K14" s="111"/>
      <c r="L14" s="111"/>
      <c r="M14" s="108"/>
      <c r="N14" s="108"/>
      <c r="O14" s="108"/>
    </row>
    <row r="15" spans="2:17" ht="7.5" customHeight="1" thickBot="1" x14ac:dyDescent="0.4">
      <c r="B15" s="30"/>
      <c r="C15" s="30"/>
      <c r="D15" s="30"/>
      <c r="E15" s="31"/>
      <c r="F15" s="31"/>
      <c r="G15" s="31"/>
      <c r="H15" s="31"/>
      <c r="I15" s="31"/>
      <c r="J15" s="31"/>
    </row>
    <row r="16" spans="2:17" ht="18.75" customHeight="1" x14ac:dyDescent="0.25">
      <c r="B16" s="112" t="s">
        <v>5</v>
      </c>
      <c r="C16" s="113"/>
      <c r="D16" s="113"/>
      <c r="E16" s="113"/>
      <c r="F16" s="114"/>
      <c r="G16" s="118" t="s">
        <v>6</v>
      </c>
      <c r="H16" s="118"/>
      <c r="I16" s="119" t="s">
        <v>7</v>
      </c>
      <c r="J16" s="121" t="s">
        <v>8</v>
      </c>
      <c r="K16" s="123" t="s">
        <v>9</v>
      </c>
      <c r="L16" s="72"/>
      <c r="M16" s="72"/>
      <c r="N16" s="72"/>
      <c r="O16" s="124"/>
    </row>
    <row r="17" spans="2:15" ht="42.5" thickBot="1" x14ac:dyDescent="0.3">
      <c r="B17" s="115"/>
      <c r="C17" s="116"/>
      <c r="D17" s="116"/>
      <c r="E17" s="116"/>
      <c r="F17" s="117"/>
      <c r="G17" s="32" t="s">
        <v>10</v>
      </c>
      <c r="H17" s="32" t="s">
        <v>11</v>
      </c>
      <c r="I17" s="120"/>
      <c r="J17" s="122"/>
      <c r="K17" s="123"/>
      <c r="L17" s="72"/>
      <c r="M17" s="72"/>
      <c r="N17" s="72"/>
      <c r="O17" s="124"/>
    </row>
    <row r="18" spans="2:15" ht="18" customHeight="1" x14ac:dyDescent="0.25">
      <c r="B18" s="33">
        <v>1</v>
      </c>
      <c r="C18" s="125" t="s">
        <v>25</v>
      </c>
      <c r="D18" s="126"/>
      <c r="E18" s="126"/>
      <c r="F18" s="127"/>
      <c r="G18" s="34">
        <v>4</v>
      </c>
      <c r="H18" s="35">
        <f>H19+H20</f>
        <v>0</v>
      </c>
      <c r="I18" s="36">
        <f>H18/G18</f>
        <v>0</v>
      </c>
      <c r="J18" s="37" t="str">
        <f>IF(I18&lt;70%,"L",IF(I18&lt;90%,"K",IF(I18&lt;101%,"J","")))</f>
        <v>L</v>
      </c>
      <c r="K18" s="123"/>
      <c r="L18" s="72"/>
      <c r="M18" s="72"/>
      <c r="N18" s="72"/>
      <c r="O18" s="124"/>
    </row>
    <row r="19" spans="2:15" ht="18" customHeight="1" x14ac:dyDescent="0.25">
      <c r="B19" s="59" t="s">
        <v>12</v>
      </c>
      <c r="C19" s="89" t="s">
        <v>26</v>
      </c>
      <c r="D19" s="83"/>
      <c r="E19" s="83"/>
      <c r="F19" s="84"/>
      <c r="G19" s="60" t="s">
        <v>13</v>
      </c>
      <c r="H19" s="61">
        <v>0</v>
      </c>
      <c r="I19" s="100"/>
      <c r="J19" s="101"/>
      <c r="K19" s="79"/>
      <c r="L19" s="95"/>
      <c r="M19" s="95"/>
      <c r="N19" s="95"/>
      <c r="O19" s="96"/>
    </row>
    <row r="20" spans="2:15" ht="18" customHeight="1" x14ac:dyDescent="0.25">
      <c r="B20" s="59" t="s">
        <v>14</v>
      </c>
      <c r="C20" s="89" t="s">
        <v>27</v>
      </c>
      <c r="D20" s="83"/>
      <c r="E20" s="83"/>
      <c r="F20" s="84"/>
      <c r="G20" s="60" t="s">
        <v>13</v>
      </c>
      <c r="H20" s="61">
        <v>0</v>
      </c>
      <c r="I20" s="102"/>
      <c r="J20" s="103"/>
      <c r="K20" s="79"/>
      <c r="L20" s="95"/>
      <c r="M20" s="95"/>
      <c r="N20" s="95"/>
      <c r="O20" s="96"/>
    </row>
    <row r="21" spans="2:15" ht="6.75" customHeight="1" x14ac:dyDescent="0.25">
      <c r="B21" s="62"/>
      <c r="C21" s="63"/>
      <c r="D21" s="64"/>
      <c r="E21" s="64"/>
      <c r="F21" s="64"/>
      <c r="G21" s="64"/>
      <c r="H21" s="64"/>
      <c r="I21" s="64"/>
      <c r="J21" s="64"/>
      <c r="K21" s="38"/>
      <c r="L21" s="39"/>
      <c r="M21" s="39"/>
      <c r="N21" s="39"/>
      <c r="O21" s="40"/>
    </row>
    <row r="22" spans="2:15" ht="18" customHeight="1" x14ac:dyDescent="0.25">
      <c r="B22" s="41">
        <v>2</v>
      </c>
      <c r="C22" s="97" t="s">
        <v>28</v>
      </c>
      <c r="D22" s="98"/>
      <c r="E22" s="98"/>
      <c r="F22" s="99"/>
      <c r="G22" s="44">
        <v>2</v>
      </c>
      <c r="H22" s="35">
        <f>H23</f>
        <v>2</v>
      </c>
      <c r="I22" s="42">
        <f>H22/G22</f>
        <v>1</v>
      </c>
      <c r="J22" s="43" t="str">
        <f>IF(I22&lt;70%,"L",IF(I22&lt;90%,"K",IF(I22&lt;101%,"J","")))</f>
        <v>J</v>
      </c>
      <c r="K22" s="79"/>
      <c r="L22" s="80"/>
      <c r="M22" s="80"/>
      <c r="N22" s="80"/>
      <c r="O22" s="81"/>
    </row>
    <row r="23" spans="2:15" ht="18" customHeight="1" x14ac:dyDescent="0.25">
      <c r="B23" s="59" t="s">
        <v>15</v>
      </c>
      <c r="C23" s="89" t="s">
        <v>29</v>
      </c>
      <c r="D23" s="83"/>
      <c r="E23" s="83"/>
      <c r="F23" s="84"/>
      <c r="G23" s="60" t="s">
        <v>13</v>
      </c>
      <c r="H23" s="61">
        <v>2</v>
      </c>
      <c r="I23" s="100"/>
      <c r="J23" s="101"/>
      <c r="K23" s="82"/>
      <c r="L23" s="80"/>
      <c r="M23" s="80"/>
      <c r="N23" s="80"/>
      <c r="O23" s="81"/>
    </row>
    <row r="24" spans="2:15" ht="18" customHeight="1" x14ac:dyDescent="0.25">
      <c r="B24" s="59" t="s">
        <v>16</v>
      </c>
      <c r="C24" s="89" t="s">
        <v>30</v>
      </c>
      <c r="D24" s="83"/>
      <c r="E24" s="83"/>
      <c r="F24" s="84"/>
      <c r="G24" s="60" t="s">
        <v>13</v>
      </c>
      <c r="H24" s="61">
        <v>2</v>
      </c>
      <c r="I24" s="102"/>
      <c r="J24" s="103"/>
      <c r="K24" s="82"/>
      <c r="L24" s="80"/>
      <c r="M24" s="80"/>
      <c r="N24" s="80"/>
      <c r="O24" s="81"/>
    </row>
    <row r="25" spans="2:15" ht="6.75" customHeight="1" x14ac:dyDescent="0.25">
      <c r="B25" s="62"/>
      <c r="C25" s="63"/>
      <c r="D25" s="64"/>
      <c r="E25" s="64"/>
      <c r="F25" s="64"/>
      <c r="G25" s="64"/>
      <c r="H25" s="64"/>
      <c r="I25" s="64"/>
      <c r="J25" s="64"/>
      <c r="K25" s="38"/>
      <c r="L25" s="39"/>
      <c r="M25" s="39"/>
      <c r="N25" s="39"/>
      <c r="O25" s="40"/>
    </row>
    <row r="26" spans="2:15" ht="18" customHeight="1" x14ac:dyDescent="0.25">
      <c r="B26" s="41">
        <v>3</v>
      </c>
      <c r="C26" s="76" t="s">
        <v>17</v>
      </c>
      <c r="D26" s="77"/>
      <c r="E26" s="77"/>
      <c r="F26" s="78"/>
      <c r="G26" s="44">
        <v>2</v>
      </c>
      <c r="H26" s="35">
        <f>H27</f>
        <v>2</v>
      </c>
      <c r="I26" s="42">
        <f>H26/G26</f>
        <v>1</v>
      </c>
      <c r="J26" s="43" t="str">
        <f>IF(I26&lt;70%,"L",IF(I26&lt;90%,"K",IF(I26&lt;101%,"J","")))</f>
        <v>J</v>
      </c>
      <c r="K26" s="79"/>
      <c r="L26" s="80"/>
      <c r="M26" s="80"/>
      <c r="N26" s="80"/>
      <c r="O26" s="81"/>
    </row>
    <row r="27" spans="2:15" ht="18" customHeight="1" x14ac:dyDescent="0.25">
      <c r="B27" s="59" t="s">
        <v>18</v>
      </c>
      <c r="C27" s="90" t="s">
        <v>31</v>
      </c>
      <c r="D27" s="91"/>
      <c r="E27" s="91"/>
      <c r="F27" s="92"/>
      <c r="G27" s="60" t="s">
        <v>13</v>
      </c>
      <c r="H27" s="65">
        <v>2</v>
      </c>
      <c r="I27" s="93"/>
      <c r="J27" s="94"/>
      <c r="K27" s="82"/>
      <c r="L27" s="80"/>
      <c r="M27" s="80"/>
      <c r="N27" s="80"/>
      <c r="O27" s="81"/>
    </row>
    <row r="28" spans="2:15" ht="6.75" customHeight="1" x14ac:dyDescent="0.25">
      <c r="B28" s="62"/>
      <c r="C28" s="63"/>
      <c r="D28" s="64"/>
      <c r="E28" s="64"/>
      <c r="F28" s="64"/>
      <c r="G28" s="64"/>
      <c r="H28" s="64"/>
      <c r="I28" s="64"/>
      <c r="J28" s="64"/>
      <c r="K28" s="38"/>
      <c r="L28" s="39"/>
      <c r="M28" s="39"/>
      <c r="N28" s="39"/>
      <c r="O28" s="40"/>
    </row>
    <row r="29" spans="2:15" ht="18" customHeight="1" x14ac:dyDescent="0.25">
      <c r="B29" s="41">
        <v>4</v>
      </c>
      <c r="C29" s="76" t="s">
        <v>32</v>
      </c>
      <c r="D29" s="77"/>
      <c r="E29" s="77"/>
      <c r="F29" s="78"/>
      <c r="G29" s="44">
        <v>4</v>
      </c>
      <c r="H29" s="35">
        <f>H30+H31</f>
        <v>4</v>
      </c>
      <c r="I29" s="42">
        <f>H29/G29</f>
        <v>1</v>
      </c>
      <c r="J29" s="43" t="str">
        <f>IF(I29&lt;70%,"L",IF(I29&lt;90%,"K",IF(I29&lt;101%,"J","")))</f>
        <v>J</v>
      </c>
      <c r="K29" s="79"/>
      <c r="L29" s="80"/>
      <c r="M29" s="80"/>
      <c r="N29" s="80"/>
      <c r="O29" s="81"/>
    </row>
    <row r="30" spans="2:15" ht="18" customHeight="1" x14ac:dyDescent="0.25">
      <c r="B30" s="59" t="s">
        <v>19</v>
      </c>
      <c r="C30" s="66" t="s">
        <v>33</v>
      </c>
      <c r="D30" s="83"/>
      <c r="E30" s="83"/>
      <c r="F30" s="84"/>
      <c r="G30" s="60" t="s">
        <v>13</v>
      </c>
      <c r="H30" s="61">
        <v>2</v>
      </c>
      <c r="I30" s="85"/>
      <c r="J30" s="86"/>
      <c r="K30" s="82"/>
      <c r="L30" s="80"/>
      <c r="M30" s="80"/>
      <c r="N30" s="80"/>
      <c r="O30" s="81"/>
    </row>
    <row r="31" spans="2:15" ht="18" customHeight="1" x14ac:dyDescent="0.25">
      <c r="B31" s="59" t="s">
        <v>20</v>
      </c>
      <c r="C31" s="89" t="s">
        <v>34</v>
      </c>
      <c r="D31" s="83"/>
      <c r="E31" s="83"/>
      <c r="F31" s="84"/>
      <c r="G31" s="60" t="s">
        <v>13</v>
      </c>
      <c r="H31" s="61">
        <v>2</v>
      </c>
      <c r="I31" s="87"/>
      <c r="J31" s="88"/>
      <c r="K31" s="82"/>
      <c r="L31" s="80"/>
      <c r="M31" s="80"/>
      <c r="N31" s="80"/>
      <c r="O31" s="81"/>
    </row>
    <row r="32" spans="2:15" ht="6.75" customHeight="1" x14ac:dyDescent="0.25">
      <c r="B32" s="62"/>
      <c r="C32" s="63"/>
      <c r="D32" s="64"/>
      <c r="E32" s="64"/>
      <c r="F32" s="64"/>
      <c r="G32" s="64"/>
      <c r="H32" s="64"/>
      <c r="I32" s="64"/>
      <c r="J32" s="64"/>
      <c r="K32" s="38"/>
      <c r="L32" s="39"/>
      <c r="M32" s="39"/>
      <c r="N32" s="39"/>
      <c r="O32" s="40"/>
    </row>
    <row r="33" spans="2:15" ht="18" customHeight="1" x14ac:dyDescent="0.25">
      <c r="B33" s="41">
        <v>5</v>
      </c>
      <c r="C33" s="76" t="s">
        <v>35</v>
      </c>
      <c r="D33" s="77"/>
      <c r="E33" s="77"/>
      <c r="F33" s="78"/>
      <c r="G33" s="44">
        <v>4</v>
      </c>
      <c r="H33" s="35">
        <f>H34+H35</f>
        <v>4</v>
      </c>
      <c r="I33" s="42">
        <f>H33/G33</f>
        <v>1</v>
      </c>
      <c r="J33" s="43" t="str">
        <f>IF(I33&lt;70%,"L",IF(I33&lt;90%,"K",IF(I33&lt;101%,"J","")))</f>
        <v>J</v>
      </c>
      <c r="K33" s="79"/>
      <c r="L33" s="80"/>
      <c r="M33" s="80"/>
      <c r="N33" s="80"/>
      <c r="O33" s="81"/>
    </row>
    <row r="34" spans="2:15" ht="18" customHeight="1" x14ac:dyDescent="0.25">
      <c r="B34" s="59" t="s">
        <v>21</v>
      </c>
      <c r="C34" s="66" t="s">
        <v>36</v>
      </c>
      <c r="D34" s="83"/>
      <c r="E34" s="83"/>
      <c r="F34" s="84"/>
      <c r="G34" s="60" t="s">
        <v>13</v>
      </c>
      <c r="H34" s="65">
        <v>2</v>
      </c>
      <c r="I34" s="85"/>
      <c r="J34" s="86"/>
      <c r="K34" s="82"/>
      <c r="L34" s="80"/>
      <c r="M34" s="80"/>
      <c r="N34" s="80"/>
      <c r="O34" s="81"/>
    </row>
    <row r="35" spans="2:15" ht="18" customHeight="1" x14ac:dyDescent="0.25">
      <c r="B35" s="59" t="s">
        <v>22</v>
      </c>
      <c r="C35" s="89" t="s">
        <v>37</v>
      </c>
      <c r="D35" s="83"/>
      <c r="E35" s="83"/>
      <c r="F35" s="84"/>
      <c r="G35" s="60" t="s">
        <v>13</v>
      </c>
      <c r="H35" s="65">
        <v>2</v>
      </c>
      <c r="I35" s="87"/>
      <c r="J35" s="88"/>
      <c r="K35" s="82"/>
      <c r="L35" s="80"/>
      <c r="M35" s="80"/>
      <c r="N35" s="80"/>
      <c r="O35" s="81"/>
    </row>
    <row r="36" spans="2:15" ht="3.75" customHeight="1" thickBot="1" x14ac:dyDescent="0.3">
      <c r="B36" s="45"/>
      <c r="C36" s="46"/>
      <c r="D36" s="46"/>
      <c r="E36" s="47"/>
      <c r="F36" s="47"/>
      <c r="G36" s="46"/>
      <c r="H36" s="46">
        <v>2</v>
      </c>
      <c r="I36" s="46"/>
      <c r="J36" s="48"/>
      <c r="K36" s="49"/>
      <c r="L36" s="50"/>
      <c r="M36" s="50"/>
      <c r="N36" s="50"/>
      <c r="O36" s="51"/>
    </row>
    <row r="38" spans="2:15" ht="20.25" customHeight="1" x14ac:dyDescent="0.25">
      <c r="B38" s="72" t="s">
        <v>23</v>
      </c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</row>
    <row r="39" spans="2:15" ht="13.5" customHeight="1" thickBot="1" x14ac:dyDescent="0.3"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</row>
    <row r="40" spans="2:15" ht="25" customHeight="1" x14ac:dyDescent="0.25">
      <c r="B40" s="56">
        <v>1</v>
      </c>
      <c r="C40" s="73" t="s">
        <v>38</v>
      </c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5"/>
    </row>
    <row r="41" spans="2:15" ht="25" customHeight="1" x14ac:dyDescent="0.25">
      <c r="B41" s="57">
        <v>2</v>
      </c>
      <c r="C41" s="66" t="s">
        <v>39</v>
      </c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8"/>
    </row>
    <row r="42" spans="2:15" ht="25" customHeight="1" x14ac:dyDescent="0.25">
      <c r="B42" s="57">
        <v>3</v>
      </c>
      <c r="C42" s="66" t="s">
        <v>40</v>
      </c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8"/>
    </row>
    <row r="43" spans="2:15" ht="25" customHeight="1" x14ac:dyDescent="0.25">
      <c r="B43" s="57">
        <v>4</v>
      </c>
      <c r="C43" s="66" t="s">
        <v>41</v>
      </c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8"/>
    </row>
    <row r="44" spans="2:15" ht="25" customHeight="1" thickBot="1" x14ac:dyDescent="0.3">
      <c r="B44" s="58">
        <v>5</v>
      </c>
      <c r="C44" s="69" t="s">
        <v>42</v>
      </c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1"/>
    </row>
    <row r="45" spans="2:15" ht="18" customHeight="1" x14ac:dyDescent="0.25"/>
    <row r="49" spans="3:15" x14ac:dyDescent="0.25">
      <c r="C49" s="104" t="s">
        <v>43</v>
      </c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</row>
    <row r="50" spans="3:15" x14ac:dyDescent="0.25">
      <c r="C50" s="104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</row>
    <row r="51" spans="3:15" x14ac:dyDescent="0.25">
      <c r="C51" s="104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</row>
    <row r="52" spans="3:15" x14ac:dyDescent="0.25">
      <c r="C52" s="104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</row>
    <row r="53" spans="3:15" x14ac:dyDescent="0.25">
      <c r="C53" s="104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</row>
    <row r="54" spans="3:15" x14ac:dyDescent="0.25">
      <c r="C54" s="104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</row>
    <row r="55" spans="3:15" x14ac:dyDescent="0.25">
      <c r="C55" s="104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</row>
  </sheetData>
  <mergeCells count="43">
    <mergeCell ref="C49:O55"/>
    <mergeCell ref="C3:N8"/>
    <mergeCell ref="E12:F12"/>
    <mergeCell ref="I12:L12"/>
    <mergeCell ref="M12:O14"/>
    <mergeCell ref="C14:D14"/>
    <mergeCell ref="E14:H14"/>
    <mergeCell ref="I14:L14"/>
    <mergeCell ref="B16:F17"/>
    <mergeCell ref="G16:H16"/>
    <mergeCell ref="I16:I17"/>
    <mergeCell ref="J16:J17"/>
    <mergeCell ref="K16:O18"/>
    <mergeCell ref="C18:F18"/>
    <mergeCell ref="C19:F19"/>
    <mergeCell ref="I19:J20"/>
    <mergeCell ref="K19:O20"/>
    <mergeCell ref="C20:F20"/>
    <mergeCell ref="C22:F22"/>
    <mergeCell ref="K22:O24"/>
    <mergeCell ref="C23:F23"/>
    <mergeCell ref="I23:J24"/>
    <mergeCell ref="C24:F24"/>
    <mergeCell ref="C26:F26"/>
    <mergeCell ref="K26:O27"/>
    <mergeCell ref="C27:F27"/>
    <mergeCell ref="I27:J27"/>
    <mergeCell ref="C29:F29"/>
    <mergeCell ref="K29:O31"/>
    <mergeCell ref="C30:F30"/>
    <mergeCell ref="I30:J31"/>
    <mergeCell ref="C31:F31"/>
    <mergeCell ref="C33:F33"/>
    <mergeCell ref="K33:O35"/>
    <mergeCell ref="C34:F34"/>
    <mergeCell ref="I34:J35"/>
    <mergeCell ref="C35:F35"/>
    <mergeCell ref="C43:N43"/>
    <mergeCell ref="C44:N44"/>
    <mergeCell ref="B38:N39"/>
    <mergeCell ref="C40:N40"/>
    <mergeCell ref="C41:N41"/>
    <mergeCell ref="C42:N42"/>
  </mergeCells>
  <conditionalFormatting sqref="I14">
    <cfRule type="cellIs" dxfId="44" priority="28" operator="between">
      <formula>0.91</formula>
      <formula>1.01</formula>
    </cfRule>
    <cfRule type="cellIs" dxfId="43" priority="30" operator="lessThan">
      <formula>0.7</formula>
    </cfRule>
    <cfRule type="cellIs" dxfId="42" priority="29" operator="between">
      <formula>0.71</formula>
      <formula>0.9</formula>
    </cfRule>
  </conditionalFormatting>
  <conditionalFormatting sqref="I18">
    <cfRule type="cellIs" dxfId="41" priority="44" stopIfTrue="1" operator="equal">
      <formula>"NULO"</formula>
    </cfRule>
    <cfRule type="cellIs" dxfId="40" priority="43" stopIfTrue="1" operator="equal">
      <formula>"FALTAM DADOS"</formula>
    </cfRule>
    <cfRule type="cellIs" dxfId="39" priority="45" stopIfTrue="1" operator="equal">
      <formula>"ERRO"</formula>
    </cfRule>
  </conditionalFormatting>
  <conditionalFormatting sqref="I22">
    <cfRule type="cellIs" dxfId="38" priority="1" stopIfTrue="1" operator="equal">
      <formula>"FALTAM DADOS"</formula>
    </cfRule>
    <cfRule type="cellIs" dxfId="37" priority="2" stopIfTrue="1" operator="equal">
      <formula>"NULO"</formula>
    </cfRule>
    <cfRule type="cellIs" dxfId="36" priority="3" stopIfTrue="1" operator="equal">
      <formula>"ERRO"</formula>
    </cfRule>
  </conditionalFormatting>
  <conditionalFormatting sqref="I23">
    <cfRule type="cellIs" dxfId="35" priority="24" stopIfTrue="1" operator="equal">
      <formula>"J"</formula>
    </cfRule>
    <cfRule type="cellIs" dxfId="34" priority="22" stopIfTrue="1" operator="equal">
      <formula>"L"</formula>
    </cfRule>
    <cfRule type="cellIs" dxfId="33" priority="23" stopIfTrue="1" operator="equal">
      <formula>"K"</formula>
    </cfRule>
  </conditionalFormatting>
  <conditionalFormatting sqref="I26">
    <cfRule type="cellIs" dxfId="32" priority="11" stopIfTrue="1" operator="equal">
      <formula>"NULO"</formula>
    </cfRule>
    <cfRule type="cellIs" dxfId="31" priority="12" stopIfTrue="1" operator="equal">
      <formula>"ERRO"</formula>
    </cfRule>
    <cfRule type="cellIs" dxfId="30" priority="10" stopIfTrue="1" operator="equal">
      <formula>"FALTAM DADOS"</formula>
    </cfRule>
  </conditionalFormatting>
  <conditionalFormatting sqref="I27">
    <cfRule type="cellIs" dxfId="29" priority="7" stopIfTrue="1" operator="equal">
      <formula>"L"</formula>
    </cfRule>
    <cfRule type="cellIs" dxfId="28" priority="8" stopIfTrue="1" operator="equal">
      <formula>"K"</formula>
    </cfRule>
    <cfRule type="cellIs" dxfId="27" priority="9" stopIfTrue="1" operator="equal">
      <formula>"J"</formula>
    </cfRule>
  </conditionalFormatting>
  <conditionalFormatting sqref="I29">
    <cfRule type="cellIs" dxfId="26" priority="37" stopIfTrue="1" operator="equal">
      <formula>"FALTAM DADOS"</formula>
    </cfRule>
    <cfRule type="cellIs" dxfId="25" priority="38" stopIfTrue="1" operator="equal">
      <formula>"NULO"</formula>
    </cfRule>
    <cfRule type="cellIs" dxfId="24" priority="39" stopIfTrue="1" operator="equal">
      <formula>"ERRO"</formula>
    </cfRule>
  </conditionalFormatting>
  <conditionalFormatting sqref="I30">
    <cfRule type="cellIs" dxfId="23" priority="18" stopIfTrue="1" operator="equal">
      <formula>"J"</formula>
    </cfRule>
    <cfRule type="cellIs" dxfId="22" priority="17" stopIfTrue="1" operator="equal">
      <formula>"K"</formula>
    </cfRule>
    <cfRule type="cellIs" dxfId="21" priority="16" stopIfTrue="1" operator="equal">
      <formula>"L"</formula>
    </cfRule>
  </conditionalFormatting>
  <conditionalFormatting sqref="I33">
    <cfRule type="cellIs" dxfId="20" priority="31" stopIfTrue="1" operator="equal">
      <formula>"FALTAM DADOS"</formula>
    </cfRule>
    <cfRule type="cellIs" dxfId="19" priority="32" stopIfTrue="1" operator="equal">
      <formula>"NULO"</formula>
    </cfRule>
    <cfRule type="cellIs" dxfId="18" priority="33" stopIfTrue="1" operator="equal">
      <formula>"ERRO"</formula>
    </cfRule>
  </conditionalFormatting>
  <conditionalFormatting sqref="I34">
    <cfRule type="cellIs" dxfId="17" priority="25" stopIfTrue="1" operator="equal">
      <formula>"L"</formula>
    </cfRule>
    <cfRule type="cellIs" dxfId="16" priority="26" stopIfTrue="1" operator="equal">
      <formula>"K"</formula>
    </cfRule>
    <cfRule type="cellIs" dxfId="15" priority="27" stopIfTrue="1" operator="equal">
      <formula>"J"</formula>
    </cfRule>
  </conditionalFormatting>
  <conditionalFormatting sqref="J18 I19 J33">
    <cfRule type="cellIs" dxfId="14" priority="40" stopIfTrue="1" operator="equal">
      <formula>"L"</formula>
    </cfRule>
    <cfRule type="cellIs" dxfId="13" priority="41" stopIfTrue="1" operator="equal">
      <formula>"K"</formula>
    </cfRule>
    <cfRule type="cellIs" dxfId="12" priority="42" stopIfTrue="1" operator="equal">
      <formula>"J"</formula>
    </cfRule>
  </conditionalFormatting>
  <conditionalFormatting sqref="J22">
    <cfRule type="cellIs" dxfId="11" priority="4" stopIfTrue="1" operator="equal">
      <formula>"L"</formula>
    </cfRule>
    <cfRule type="cellIs" dxfId="10" priority="5" stopIfTrue="1" operator="equal">
      <formula>"K"</formula>
    </cfRule>
    <cfRule type="cellIs" dxfId="9" priority="6" stopIfTrue="1" operator="equal">
      <formula>"J"</formula>
    </cfRule>
  </conditionalFormatting>
  <conditionalFormatting sqref="J26">
    <cfRule type="cellIs" dxfId="8" priority="13" stopIfTrue="1" operator="equal">
      <formula>"L"</formula>
    </cfRule>
    <cfRule type="cellIs" dxfId="7" priority="14" stopIfTrue="1" operator="equal">
      <formula>"K"</formula>
    </cfRule>
    <cfRule type="cellIs" dxfId="6" priority="15" stopIfTrue="1" operator="equal">
      <formula>"J"</formula>
    </cfRule>
  </conditionalFormatting>
  <conditionalFormatting sqref="J29">
    <cfRule type="cellIs" dxfId="5" priority="34" stopIfTrue="1" operator="equal">
      <formula>"L"</formula>
    </cfRule>
    <cfRule type="cellIs" dxfId="4" priority="36" stopIfTrue="1" operator="equal">
      <formula>"J"</formula>
    </cfRule>
    <cfRule type="cellIs" dxfId="3" priority="35" stopIfTrue="1" operator="equal">
      <formula>"K"</formula>
    </cfRule>
  </conditionalFormatting>
  <conditionalFormatting sqref="M12">
    <cfRule type="cellIs" dxfId="2" priority="21" stopIfTrue="1" operator="equal">
      <formula>"J"</formula>
    </cfRule>
    <cfRule type="cellIs" dxfId="1" priority="20" stopIfTrue="1" operator="equal">
      <formula>"K"</formula>
    </cfRule>
    <cfRule type="cellIs" dxfId="0" priority="19" stopIfTrue="1" operator="equal">
      <formula>"L"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81252851F28942875D89D2C39F1241" ma:contentTypeVersion="18" ma:contentTypeDescription="Crie um novo documento." ma:contentTypeScope="" ma:versionID="4a43562f0951836659c836b04acf3ff5">
  <xsd:schema xmlns:xsd="http://www.w3.org/2001/XMLSchema" xmlns:xs="http://www.w3.org/2001/XMLSchema" xmlns:p="http://schemas.microsoft.com/office/2006/metadata/properties" xmlns:ns2="aacb3b2f-5927-4b98-82b1-fea2b4072a87" xmlns:ns3="a45d3e5f-3e31-4187-b998-c44ee850df36" targetNamespace="http://schemas.microsoft.com/office/2006/metadata/properties" ma:root="true" ma:fieldsID="603b1973da2e891d21f14d8bb65aba69" ns2:_="" ns3:_="">
    <xsd:import namespace="aacb3b2f-5927-4b98-82b1-fea2b4072a87"/>
    <xsd:import namespace="a45d3e5f-3e31-4187-b998-c44ee850df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Curso" minOccurs="0"/>
                <xsd:element ref="ns2:Semana" minOccurs="0"/>
                <xsd:element ref="ns2:A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cb3b2f-5927-4b98-82b1-fea2b4072a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a85b3961-dbc6-48b8-bc39-d380478928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Curso" ma:index="22" nillable="true" ma:displayName="Curso" ma:format="Dropdown" ma:internalName="Curso">
      <xsd:simpleType>
        <xsd:restriction base="dms:Text">
          <xsd:maxLength value="255"/>
        </xsd:restriction>
      </xsd:simpleType>
    </xsd:element>
    <xsd:element name="Semana" ma:index="23" nillable="true" ma:displayName="Semana" ma:format="Dropdown" ma:internalName="Semana">
      <xsd:simpleType>
        <xsd:restriction base="dms:Text">
          <xsd:maxLength value="255"/>
        </xsd:restriction>
      </xsd:simpleType>
    </xsd:element>
    <xsd:element name="Ano" ma:index="24" nillable="true" ma:displayName="Ano" ma:format="Dropdown" ma:internalName="An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5d3e5f-3e31-4187-b998-c44ee850df3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cb3b2f-5927-4b98-82b1-fea2b4072a87">
      <Terms xmlns="http://schemas.microsoft.com/office/infopath/2007/PartnerControls"/>
    </lcf76f155ced4ddcb4097134ff3c332f>
    <Curso xmlns="aacb3b2f-5927-4b98-82b1-fea2b4072a87" xsi:nil="true"/>
    <Semana xmlns="aacb3b2f-5927-4b98-82b1-fea2b4072a87" xsi:nil="true"/>
    <Ano xmlns="aacb3b2f-5927-4b98-82b1-fea2b4072a87" xsi:nil="true"/>
  </documentManagement>
</p:properties>
</file>

<file path=customXml/itemProps1.xml><?xml version="1.0" encoding="utf-8"?>
<ds:datastoreItem xmlns:ds="http://schemas.openxmlformats.org/officeDocument/2006/customXml" ds:itemID="{EC2A247D-2290-4A7A-A439-F5EC82D3EE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4D1308-1C85-4BEC-939B-F2827E74E37C}"/>
</file>

<file path=customXml/itemProps3.xml><?xml version="1.0" encoding="utf-8"?>
<ds:datastoreItem xmlns:ds="http://schemas.openxmlformats.org/officeDocument/2006/customXml" ds:itemID="{A158E119-7289-4BA7-B099-C2E875278CF0}">
  <ds:schemaRefs>
    <ds:schemaRef ds:uri="http://schemas.microsoft.com/office/2006/metadata/properties"/>
    <ds:schemaRef ds:uri="http://schemas.microsoft.com/office/infopath/2007/PartnerControls"/>
    <ds:schemaRef ds:uri="aacb3b2f-5927-4b98-82b1-fea2b4072a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Para estudante</vt:lpstr>
    </vt:vector>
  </TitlesOfParts>
  <Manager/>
  <Company>Cegelec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Cegelec</dc:creator>
  <cp:keywords/>
  <dc:description/>
  <cp:lastModifiedBy>Vanessa Leite Rios</cp:lastModifiedBy>
  <cp:revision/>
  <dcterms:created xsi:type="dcterms:W3CDTF">2003-06-06T16:58:22Z</dcterms:created>
  <dcterms:modified xsi:type="dcterms:W3CDTF">2025-02-11T16:12:44Z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0x0101004B81252851F28942875D89D2C39F1241</vt:lpwstr>
  </property>
</Properties>
</file>